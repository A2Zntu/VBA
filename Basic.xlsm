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GitHub\VBA\"/>
    </mc:Choice>
  </mc:AlternateContent>
  <bookViews>
    <workbookView xWindow="0" yWindow="0" windowWidth="19200" windowHeight="6990" activeTab="3"/>
  </bookViews>
  <sheets>
    <sheet name="BMI" sheetId="1" r:id="rId1"/>
    <sheet name="MDD" sheetId="2" r:id="rId2"/>
    <sheet name="SUMODD" sheetId="3" r:id="rId3"/>
    <sheet name="Bond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4" l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E1" i="3" l="1"/>
</calcChain>
</file>

<file path=xl/sharedStrings.xml><?xml version="1.0" encoding="utf-8"?>
<sst xmlns="http://schemas.openxmlformats.org/spreadsheetml/2006/main" count="16" uniqueCount="15">
  <si>
    <t>身高</t>
    <phoneticPr fontId="1" type="noConversion"/>
  </si>
  <si>
    <t>體重</t>
    <phoneticPr fontId="1" type="noConversion"/>
  </si>
  <si>
    <t>Stock</t>
    <phoneticPr fontId="1" type="noConversion"/>
  </si>
  <si>
    <t>債券</t>
  </si>
  <si>
    <t>Bond A</t>
  </si>
  <si>
    <t>Bond B</t>
  </si>
  <si>
    <t>Bond C</t>
  </si>
  <si>
    <t>票面利率</t>
  </si>
  <si>
    <t>面額</t>
  </si>
  <si>
    <t>Maturity</t>
    <phoneticPr fontId="1" type="noConversion"/>
  </si>
  <si>
    <t>Freq.</t>
    <phoneticPr fontId="1" type="noConversion"/>
  </si>
  <si>
    <t>YTM</t>
    <phoneticPr fontId="1" type="noConversion"/>
  </si>
  <si>
    <t>PVb</t>
    <phoneticPr fontId="1" type="noConversion"/>
  </si>
  <si>
    <t>PVc</t>
    <phoneticPr fontId="1" type="noConversion"/>
  </si>
  <si>
    <t>PVa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</si>
</sst>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4" fontId="4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4" fontId="0" fillId="0" borderId="0" xfId="1" applyFont="1">
      <alignment vertical="center"/>
    </xf>
  </cellXfs>
  <cellStyles count="2">
    <cellStyle name="一般" xfId="0" builtinId="0"/>
    <cellStyle name="貨幣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YTM Curve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Bond!$B$8</c:f>
              <c:strCache>
                <c:ptCount val="1"/>
                <c:pt idx="0">
                  <c:v>PVa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Bond!$A$9:$A$39</c:f>
              <c:numCache>
                <c:formatCode>General</c:formatCode>
                <c:ptCount val="31"/>
                <c:pt idx="0">
                  <c:v>0.03</c:v>
                </c:pt>
                <c:pt idx="1">
                  <c:v>2.7999999999999997E-2</c:v>
                </c:pt>
                <c:pt idx="2">
                  <c:v>2.5999999999999995E-2</c:v>
                </c:pt>
                <c:pt idx="3">
                  <c:v>2.3999999999999994E-2</c:v>
                </c:pt>
                <c:pt idx="4">
                  <c:v>2.1999999999999992E-2</c:v>
                </c:pt>
                <c:pt idx="5">
                  <c:v>1.999999999999999E-2</c:v>
                </c:pt>
                <c:pt idx="6">
                  <c:v>1.7999999999999988E-2</c:v>
                </c:pt>
                <c:pt idx="7">
                  <c:v>1.5999999999999986E-2</c:v>
                </c:pt>
                <c:pt idx="8">
                  <c:v>1.3999999999999986E-2</c:v>
                </c:pt>
                <c:pt idx="9">
                  <c:v>1.1999999999999986E-2</c:v>
                </c:pt>
                <c:pt idx="10">
                  <c:v>9.9999999999999863E-3</c:v>
                </c:pt>
                <c:pt idx="11">
                  <c:v>7.9999999999999863E-3</c:v>
                </c:pt>
                <c:pt idx="12">
                  <c:v>5.9999999999999862E-3</c:v>
                </c:pt>
                <c:pt idx="13">
                  <c:v>3.9999999999999862E-3</c:v>
                </c:pt>
                <c:pt idx="14">
                  <c:v>1.9999999999999862E-3</c:v>
                </c:pt>
                <c:pt idx="15">
                  <c:v>-1.3877787807814457E-17</c:v>
                </c:pt>
                <c:pt idx="16">
                  <c:v>-2.0000000000000139E-3</c:v>
                </c:pt>
                <c:pt idx="17">
                  <c:v>-4.000000000000014E-3</c:v>
                </c:pt>
                <c:pt idx="18">
                  <c:v>-6.000000000000014E-3</c:v>
                </c:pt>
                <c:pt idx="19">
                  <c:v>-8.000000000000014E-3</c:v>
                </c:pt>
                <c:pt idx="20">
                  <c:v>-1.0000000000000014E-2</c:v>
                </c:pt>
                <c:pt idx="21">
                  <c:v>-1.2000000000000014E-2</c:v>
                </c:pt>
                <c:pt idx="22">
                  <c:v>-1.4000000000000014E-2</c:v>
                </c:pt>
                <c:pt idx="23">
                  <c:v>-1.6000000000000014E-2</c:v>
                </c:pt>
                <c:pt idx="24">
                  <c:v>-1.8000000000000016E-2</c:v>
                </c:pt>
                <c:pt idx="25">
                  <c:v>-2.0000000000000018E-2</c:v>
                </c:pt>
                <c:pt idx="26">
                  <c:v>-2.200000000000002E-2</c:v>
                </c:pt>
                <c:pt idx="27">
                  <c:v>-2.4000000000000021E-2</c:v>
                </c:pt>
                <c:pt idx="28">
                  <c:v>-2.6000000000000023E-2</c:v>
                </c:pt>
                <c:pt idx="29">
                  <c:v>-2.8000000000000025E-2</c:v>
                </c:pt>
                <c:pt idx="30">
                  <c:v>-3.0000000000000027E-2</c:v>
                </c:pt>
              </c:numCache>
            </c:numRef>
          </c:xVal>
          <c:yVal>
            <c:numRef>
              <c:f>Bond!$B$9:$B$39</c:f>
              <c:numCache>
                <c:formatCode>_("$"* #,##0.00_);_("$"* \(#,##0.00\);_("$"* "-"??_);_(@_)</c:formatCode>
                <c:ptCount val="31"/>
                <c:pt idx="0">
                  <c:v>91.41568060745908</c:v>
                </c:pt>
                <c:pt idx="1">
                  <c:v>93.064366322507581</c:v>
                </c:pt>
                <c:pt idx="2">
                  <c:v>94.746412957914643</c:v>
                </c:pt>
                <c:pt idx="3">
                  <c:v>96.462540451540491</c:v>
                </c:pt>
                <c:pt idx="4">
                  <c:v>98.213485110256372</c:v>
                </c:pt>
                <c:pt idx="5">
                  <c:v>100.00000000000001</c:v>
                </c:pt>
                <c:pt idx="6">
                  <c:v>101.82285534554191</c:v>
                </c:pt>
                <c:pt idx="7">
                  <c:v>103.6828389402134</c:v>
                </c:pt>
                <c:pt idx="8">
                  <c:v>105.5807565658553</c:v>
                </c:pt>
                <c:pt idx="9">
                  <c:v>107.51743242325389</c:v>
                </c:pt>
                <c:pt idx="10">
                  <c:v>109.49370957333475</c:v>
                </c:pt>
                <c:pt idx="11">
                  <c:v>111.51045038939925</c:v>
                </c:pt>
                <c:pt idx="12">
                  <c:v>113.56853702068398</c:v>
                </c:pt>
                <c:pt idx="13">
                  <c:v>115.66887186755099</c:v>
                </c:pt>
                <c:pt idx="14">
                  <c:v>117.81237806859293</c:v>
                </c:pt>
                <c:pt idx="15">
                  <c:v>100</c:v>
                </c:pt>
                <c:pt idx="16">
                  <c:v>122.23270378744976</c:v>
                </c:pt>
                <c:pt idx="17">
                  <c:v>124.51147783092824</c:v>
                </c:pt>
                <c:pt idx="18">
                  <c:v>126.83733334274683</c:v>
                </c:pt>
                <c:pt idx="19">
                  <c:v>129.21130489914779</c:v>
                </c:pt>
                <c:pt idx="20">
                  <c:v>131.63445100583772</c:v>
                </c:pt>
                <c:pt idx="21">
                  <c:v>134.10785467781955</c:v>
                </c:pt>
                <c:pt idx="22">
                  <c:v>136.63262403389973</c:v>
                </c:pt>
                <c:pt idx="23">
                  <c:v>139.20989290625727</c:v>
                </c:pt>
                <c:pt idx="24">
                  <c:v>141.84082146547249</c:v>
                </c:pt>
                <c:pt idx="25">
                  <c:v>144.52659686142408</c:v>
                </c:pt>
                <c:pt idx="26">
                  <c:v>147.26843388047445</c:v>
                </c:pt>
                <c:pt idx="27">
                  <c:v>150.06757561937442</c:v>
                </c:pt>
                <c:pt idx="28">
                  <c:v>152.92529417633114</c:v>
                </c:pt>
                <c:pt idx="29">
                  <c:v>155.84289135969388</c:v>
                </c:pt>
                <c:pt idx="30">
                  <c:v>158.82169941472671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6-466E-9FCD-A9F3904869C1}"/>
            </c:ext>
          </c:extLst>
        </c:ser>
        <c:ser>
          <c:idx val="1"/>
          <c:order val="1"/>
          <c:tx>
            <c:strRef>
              <c:f>Bond!$C$8</c:f>
              <c:strCache>
                <c:ptCount val="1"/>
                <c:pt idx="0">
                  <c:v>PVb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Bond!$A$9:$A$39</c:f>
              <c:numCache>
                <c:formatCode>General</c:formatCode>
                <c:ptCount val="31"/>
                <c:pt idx="0">
                  <c:v>0.03</c:v>
                </c:pt>
                <c:pt idx="1">
                  <c:v>2.7999999999999997E-2</c:v>
                </c:pt>
                <c:pt idx="2">
                  <c:v>2.5999999999999995E-2</c:v>
                </c:pt>
                <c:pt idx="3">
                  <c:v>2.3999999999999994E-2</c:v>
                </c:pt>
                <c:pt idx="4">
                  <c:v>2.1999999999999992E-2</c:v>
                </c:pt>
                <c:pt idx="5">
                  <c:v>1.999999999999999E-2</c:v>
                </c:pt>
                <c:pt idx="6">
                  <c:v>1.7999999999999988E-2</c:v>
                </c:pt>
                <c:pt idx="7">
                  <c:v>1.5999999999999986E-2</c:v>
                </c:pt>
                <c:pt idx="8">
                  <c:v>1.3999999999999986E-2</c:v>
                </c:pt>
                <c:pt idx="9">
                  <c:v>1.1999999999999986E-2</c:v>
                </c:pt>
                <c:pt idx="10">
                  <c:v>9.9999999999999863E-3</c:v>
                </c:pt>
                <c:pt idx="11">
                  <c:v>7.9999999999999863E-3</c:v>
                </c:pt>
                <c:pt idx="12">
                  <c:v>5.9999999999999862E-3</c:v>
                </c:pt>
                <c:pt idx="13">
                  <c:v>3.9999999999999862E-3</c:v>
                </c:pt>
                <c:pt idx="14">
                  <c:v>1.9999999999999862E-3</c:v>
                </c:pt>
                <c:pt idx="15">
                  <c:v>-1.3877787807814457E-17</c:v>
                </c:pt>
                <c:pt idx="16">
                  <c:v>-2.0000000000000139E-3</c:v>
                </c:pt>
                <c:pt idx="17">
                  <c:v>-4.000000000000014E-3</c:v>
                </c:pt>
                <c:pt idx="18">
                  <c:v>-6.000000000000014E-3</c:v>
                </c:pt>
                <c:pt idx="19">
                  <c:v>-8.000000000000014E-3</c:v>
                </c:pt>
                <c:pt idx="20">
                  <c:v>-1.0000000000000014E-2</c:v>
                </c:pt>
                <c:pt idx="21">
                  <c:v>-1.2000000000000014E-2</c:v>
                </c:pt>
                <c:pt idx="22">
                  <c:v>-1.4000000000000014E-2</c:v>
                </c:pt>
                <c:pt idx="23">
                  <c:v>-1.6000000000000014E-2</c:v>
                </c:pt>
                <c:pt idx="24">
                  <c:v>-1.8000000000000016E-2</c:v>
                </c:pt>
                <c:pt idx="25">
                  <c:v>-2.0000000000000018E-2</c:v>
                </c:pt>
                <c:pt idx="26">
                  <c:v>-2.200000000000002E-2</c:v>
                </c:pt>
                <c:pt idx="27">
                  <c:v>-2.4000000000000021E-2</c:v>
                </c:pt>
                <c:pt idx="28">
                  <c:v>-2.6000000000000023E-2</c:v>
                </c:pt>
                <c:pt idx="29">
                  <c:v>-2.8000000000000025E-2</c:v>
                </c:pt>
                <c:pt idx="30">
                  <c:v>-3.0000000000000027E-2</c:v>
                </c:pt>
              </c:numCache>
            </c:numRef>
          </c:xVal>
          <c:yVal>
            <c:numRef>
              <c:f>Bond!$C$9:$C$39</c:f>
              <c:numCache>
                <c:formatCode>_("$"* #,##0.00_);_("$"* \(#,##0.00\);_("$"* "-"??_);_(@_)</c:formatCode>
                <c:ptCount val="31"/>
                <c:pt idx="0">
                  <c:v>74.247041822377241</c:v>
                </c:pt>
                <c:pt idx="1">
                  <c:v>75.725282128776541</c:v>
                </c:pt>
                <c:pt idx="2">
                  <c:v>77.234456150963467</c:v>
                </c:pt>
                <c:pt idx="3">
                  <c:v>78.775242709242931</c:v>
                </c:pt>
                <c:pt idx="4">
                  <c:v>80.348336212820072</c:v>
                </c:pt>
                <c:pt idx="5">
                  <c:v>81.954447033729537</c:v>
                </c:pt>
                <c:pt idx="6">
                  <c:v>83.594301890122907</c:v>
                </c:pt>
                <c:pt idx="7">
                  <c:v>85.26864423914644</c:v>
                </c:pt>
                <c:pt idx="8">
                  <c:v>86.978234679671033</c:v>
                </c:pt>
                <c:pt idx="9">
                  <c:v>88.723851365119202</c:v>
                </c:pt>
                <c:pt idx="10">
                  <c:v>90.506290426665274</c:v>
                </c:pt>
                <c:pt idx="11">
                  <c:v>92.326366407067184</c:v>
                </c:pt>
                <c:pt idx="12">
                  <c:v>94.184912705421169</c:v>
                </c:pt>
                <c:pt idx="13">
                  <c:v>96.082782033112267</c:v>
                </c:pt>
                <c:pt idx="14">
                  <c:v>98.020846881267474</c:v>
                </c:pt>
                <c:pt idx="15">
                  <c:v>100</c:v>
                </c:pt>
                <c:pt idx="16">
                  <c:v>102.02115488976817</c:v>
                </c:pt>
                <c:pt idx="17">
                  <c:v>104.08524630515473</c:v>
                </c:pt>
                <c:pt idx="18">
                  <c:v>106.19323077140312</c:v>
                </c:pt>
                <c:pt idx="19">
                  <c:v>108.34608711404223</c:v>
                </c:pt>
                <c:pt idx="20">
                  <c:v>110.54481700194592</c:v>
                </c:pt>
                <c:pt idx="21">
                  <c:v>112.79044550418234</c:v>
                </c:pt>
                <c:pt idx="22">
                  <c:v>115.08402166101754</c:v>
                </c:pt>
                <c:pt idx="23">
                  <c:v>117.42661906944768</c:v>
                </c:pt>
                <c:pt idx="24">
                  <c:v>119.81933648364488</c:v>
                </c:pt>
                <c:pt idx="25">
                  <c:v>122.26329843071204</c:v>
                </c:pt>
                <c:pt idx="26">
                  <c:v>124.75965584215328</c:v>
                </c:pt>
                <c:pt idx="27">
                  <c:v>127.30958670147697</c:v>
                </c:pt>
                <c:pt idx="28">
                  <c:v>129.91429670836109</c:v>
                </c:pt>
                <c:pt idx="29">
                  <c:v>132.57501995982145</c:v>
                </c:pt>
                <c:pt idx="30">
                  <c:v>135.29301964883604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56-466E-9FCD-A9F3904869C1}"/>
            </c:ext>
          </c:extLst>
        </c:ser>
        <c:ser>
          <c:idx val="2"/>
          <c:order val="2"/>
          <c:tx>
            <c:strRef>
              <c:f>Bond!$D$8</c:f>
              <c:strCache>
                <c:ptCount val="1"/>
                <c:pt idx="0">
                  <c:v>PVc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Bond!$A$9:$A$39</c:f>
              <c:numCache>
                <c:formatCode>General</c:formatCode>
                <c:ptCount val="31"/>
                <c:pt idx="0">
                  <c:v>0.03</c:v>
                </c:pt>
                <c:pt idx="1">
                  <c:v>2.7999999999999997E-2</c:v>
                </c:pt>
                <c:pt idx="2">
                  <c:v>2.5999999999999995E-2</c:v>
                </c:pt>
                <c:pt idx="3">
                  <c:v>2.3999999999999994E-2</c:v>
                </c:pt>
                <c:pt idx="4">
                  <c:v>2.1999999999999992E-2</c:v>
                </c:pt>
                <c:pt idx="5">
                  <c:v>1.999999999999999E-2</c:v>
                </c:pt>
                <c:pt idx="6">
                  <c:v>1.7999999999999988E-2</c:v>
                </c:pt>
                <c:pt idx="7">
                  <c:v>1.5999999999999986E-2</c:v>
                </c:pt>
                <c:pt idx="8">
                  <c:v>1.3999999999999986E-2</c:v>
                </c:pt>
                <c:pt idx="9">
                  <c:v>1.1999999999999986E-2</c:v>
                </c:pt>
                <c:pt idx="10">
                  <c:v>9.9999999999999863E-3</c:v>
                </c:pt>
                <c:pt idx="11">
                  <c:v>7.9999999999999863E-3</c:v>
                </c:pt>
                <c:pt idx="12">
                  <c:v>5.9999999999999862E-3</c:v>
                </c:pt>
                <c:pt idx="13">
                  <c:v>3.9999999999999862E-3</c:v>
                </c:pt>
                <c:pt idx="14">
                  <c:v>1.9999999999999862E-3</c:v>
                </c:pt>
                <c:pt idx="15">
                  <c:v>-1.3877787807814457E-17</c:v>
                </c:pt>
                <c:pt idx="16">
                  <c:v>-2.0000000000000139E-3</c:v>
                </c:pt>
                <c:pt idx="17">
                  <c:v>-4.000000000000014E-3</c:v>
                </c:pt>
                <c:pt idx="18">
                  <c:v>-6.000000000000014E-3</c:v>
                </c:pt>
                <c:pt idx="19">
                  <c:v>-8.000000000000014E-3</c:v>
                </c:pt>
                <c:pt idx="20">
                  <c:v>-1.0000000000000014E-2</c:v>
                </c:pt>
                <c:pt idx="21">
                  <c:v>-1.2000000000000014E-2</c:v>
                </c:pt>
                <c:pt idx="22">
                  <c:v>-1.4000000000000014E-2</c:v>
                </c:pt>
                <c:pt idx="23">
                  <c:v>-1.6000000000000014E-2</c:v>
                </c:pt>
                <c:pt idx="24">
                  <c:v>-1.8000000000000016E-2</c:v>
                </c:pt>
                <c:pt idx="25">
                  <c:v>-2.0000000000000018E-2</c:v>
                </c:pt>
                <c:pt idx="26">
                  <c:v>-2.200000000000002E-2</c:v>
                </c:pt>
                <c:pt idx="27">
                  <c:v>-2.4000000000000021E-2</c:v>
                </c:pt>
                <c:pt idx="28">
                  <c:v>-2.6000000000000023E-2</c:v>
                </c:pt>
                <c:pt idx="29">
                  <c:v>-2.8000000000000025E-2</c:v>
                </c:pt>
                <c:pt idx="30">
                  <c:v>-3.0000000000000027E-2</c:v>
                </c:pt>
              </c:numCache>
            </c:numRef>
          </c:xVal>
          <c:yVal>
            <c:numRef>
              <c:f>Bond!$D$9:$D$39</c:f>
              <c:numCache>
                <c:formatCode>_("$"* #,##0.00_);_("$"* \(#,##0.00\);_("$"* "-"??_);_(@_)</c:formatCode>
                <c:ptCount val="31"/>
                <c:pt idx="0">
                  <c:v>57.078403037295402</c:v>
                </c:pt>
                <c:pt idx="1">
                  <c:v>58.386197935045487</c:v>
                </c:pt>
                <c:pt idx="2">
                  <c:v>59.722499344012277</c:v>
                </c:pt>
                <c:pt idx="3">
                  <c:v>61.087944966945365</c:v>
                </c:pt>
                <c:pt idx="4">
                  <c:v>62.483187315383759</c:v>
                </c:pt>
                <c:pt idx="5">
                  <c:v>63.90889406745908</c:v>
                </c:pt>
                <c:pt idx="6">
                  <c:v>65.365748434703903</c:v>
                </c:pt>
                <c:pt idx="7">
                  <c:v>66.854449538079493</c:v>
                </c:pt>
                <c:pt idx="8">
                  <c:v>68.375712793486755</c:v>
                </c:pt>
                <c:pt idx="9">
                  <c:v>69.930270306984511</c:v>
                </c:pt>
                <c:pt idx="10">
                  <c:v>71.518871279995807</c:v>
                </c:pt>
                <c:pt idx="11">
                  <c:v>73.142282424735129</c:v>
                </c:pt>
                <c:pt idx="12">
                  <c:v>74.801288390158376</c:v>
                </c:pt>
                <c:pt idx="13">
                  <c:v>76.496692198673557</c:v>
                </c:pt>
                <c:pt idx="14">
                  <c:v>78.229315693941999</c:v>
                </c:pt>
                <c:pt idx="15">
                  <c:v>100</c:v>
                </c:pt>
                <c:pt idx="16">
                  <c:v>81.809605992086588</c:v>
                </c:pt>
                <c:pt idx="17">
                  <c:v>83.659014779381195</c:v>
                </c:pt>
                <c:pt idx="18">
                  <c:v>85.549128200059428</c:v>
                </c:pt>
                <c:pt idx="19">
                  <c:v>87.480869328936677</c:v>
                </c:pt>
                <c:pt idx="20">
                  <c:v>89.455182998054113</c:v>
                </c:pt>
                <c:pt idx="21">
                  <c:v>91.473036330545128</c:v>
                </c:pt>
                <c:pt idx="22">
                  <c:v>93.535419288135358</c:v>
                </c:pt>
                <c:pt idx="23">
                  <c:v>95.643345232638097</c:v>
                </c:pt>
                <c:pt idx="24">
                  <c:v>97.797851501817249</c:v>
                </c:pt>
                <c:pt idx="25">
                  <c:v>100.00000000000001</c:v>
                </c:pt>
                <c:pt idx="26">
                  <c:v>102.25087780383214</c:v>
                </c:pt>
                <c:pt idx="27">
                  <c:v>104.55159778357951</c:v>
                </c:pt>
                <c:pt idx="28">
                  <c:v>106.90329924039104</c:v>
                </c:pt>
                <c:pt idx="29">
                  <c:v>109.307148559949</c:v>
                </c:pt>
                <c:pt idx="30">
                  <c:v>111.76433988294536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56-466E-9FCD-A9F390486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610368"/>
        <c:axId val="1934612864"/>
      </c:scatterChart>
      <c:valAx>
        <c:axId val="193461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4612864"/>
        <c:crosses val="autoZero"/>
        <c:crossBetween val="midCat"/>
      </c:valAx>
      <c:valAx>
        <c:axId val="19346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46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431800</xdr:colOff>
      <xdr:row>1</xdr:row>
      <xdr:rowOff>127000</xdr:rowOff>
    </xdr:from>
    <xdr:to>
      <xdr:col>7</xdr:col>
      <xdr:colOff>285750</xdr:colOff>
      <xdr:row>3</xdr:row>
      <xdr:rowOff>177800</xdr:rowOff>
    </xdr:to>
    <xdr:sp macro="[0]!Module1.Bmi_cal" textlink="">
      <xdr:nvSpPr>
        <xdr:cNvPr id="2" name="圓角矩形 1"/>
        <xdr:cNvSpPr/>
      </xdr:nvSpPr>
      <xdr:spPr>
        <a:xfrm>
          <a:off x="2870200" y="342900"/>
          <a:ext cx="1682750" cy="482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/>
            <a:t>BMI</a:t>
          </a:r>
          <a:endParaRPr lang="zh-TW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488950</xdr:colOff>
      <xdr:row>0</xdr:row>
      <xdr:rowOff>50800</xdr:rowOff>
    </xdr:from>
    <xdr:to>
      <xdr:col>4</xdr:col>
      <xdr:colOff>406400</xdr:colOff>
      <xdr:row>1</xdr:row>
      <xdr:rowOff>139700</xdr:rowOff>
    </xdr:to>
    <xdr:sp macro="[0]!MDD" textlink="">
      <xdr:nvSpPr>
        <xdr:cNvPr id="2" name="圓角矩形 1"/>
        <xdr:cNvSpPr/>
      </xdr:nvSpPr>
      <xdr:spPr>
        <a:xfrm>
          <a:off x="1708150" y="50800"/>
          <a:ext cx="11366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/>
            <a:t>MDD</a:t>
          </a:r>
          <a:endParaRPr lang="zh-TW" alt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1</xdr:row>
      <xdr:rowOff>101600</xdr:rowOff>
    </xdr:from>
    <xdr:to>
      <xdr:col>9</xdr:col>
      <xdr:colOff>203200</xdr:colOff>
      <xdr:row>4</xdr:row>
      <xdr:rowOff>31750</xdr:rowOff>
    </xdr:to>
    <xdr:sp macro="[0]!PVBond" textlink="">
      <xdr:nvSpPr>
        <xdr:cNvPr id="2" name="圓角矩形 1"/>
        <xdr:cNvSpPr/>
      </xdr:nvSpPr>
      <xdr:spPr>
        <a:xfrm>
          <a:off x="5467350" y="317500"/>
          <a:ext cx="1193800" cy="57785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i="1"/>
            <a:t>Calculate</a:t>
          </a:r>
          <a:r>
            <a:rPr lang="en-US" altLang="zh-TW" sz="1100" b="1" i="1" baseline="0"/>
            <a:t> the Bond Price</a:t>
          </a:r>
          <a:endParaRPr lang="zh-TW" altLang="en-US" sz="1100" b="1" i="1"/>
        </a:p>
      </xdr:txBody>
    </xdr:sp>
    <xdr:clientData/>
  </xdr:twoCellAnchor>
  <xdr:twoCellAnchor>
    <xdr:from>
      <xdr:col>9</xdr:col>
      <xdr:colOff>552450</xdr:colOff>
      <xdr:row>1</xdr:row>
      <xdr:rowOff>101600</xdr:rowOff>
    </xdr:from>
    <xdr:to>
      <xdr:col>11</xdr:col>
      <xdr:colOff>527050</xdr:colOff>
      <xdr:row>4</xdr:row>
      <xdr:rowOff>31750</xdr:rowOff>
    </xdr:to>
    <xdr:sp macro="[0]!Plot" textlink="">
      <xdr:nvSpPr>
        <xdr:cNvPr id="4" name="圓角矩形 3"/>
        <xdr:cNvSpPr/>
      </xdr:nvSpPr>
      <xdr:spPr>
        <a:xfrm>
          <a:off x="7010400" y="317500"/>
          <a:ext cx="1193800" cy="57785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i="1"/>
            <a:t>Draw the</a:t>
          </a:r>
          <a:r>
            <a:rPr lang="en-US" altLang="zh-TW" sz="1100" b="1" i="1" baseline="0"/>
            <a:t> Plot</a:t>
          </a:r>
          <a:endParaRPr lang="zh-TW" altLang="en-US" sz="1100" b="1" i="1"/>
        </a:p>
      </xdr:txBody>
    </xdr:sp>
    <xdr:clientData/>
  </xdr:twoCellAnchor>
  <xdr:twoCellAnchor>
    <xdr:from>
      <xdr:col>5</xdr:col>
      <xdr:colOff>447675</xdr:colOff>
      <xdr:row>5</xdr:row>
      <xdr:rowOff>203200</xdr:rowOff>
    </xdr:from>
    <xdr:to>
      <xdr:col>13</xdr:col>
      <xdr:colOff>142875</xdr:colOff>
      <xdr:row>18</xdr:row>
      <xdr:rowOff>146050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2"/>
  <sheetViews>
    <sheetView workbookViewId="0">
      <selection activeCell="D9" sqref="D9"/>
    </sheetView>
  </sheetViews>
  <sheetFormatPr defaultRowHeight="17" x14ac:dyDescent="0.4"/>
  <sheetData>
    <row r="1" spans="1:2" x14ac:dyDescent="0.4">
      <c r="A1" s="1" t="s">
        <v>0</v>
      </c>
      <c r="B1" s="1" t="s">
        <v>1</v>
      </c>
    </row>
    <row r="2" spans="1:2" x14ac:dyDescent="0.4">
      <c r="A2">
        <v>176</v>
      </c>
      <c r="B2">
        <v>100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A13"/>
  <sheetViews>
    <sheetView workbookViewId="0">
      <selection activeCell="H4" sqref="H4:H5"/>
    </sheetView>
  </sheetViews>
  <sheetFormatPr defaultRowHeight="17" x14ac:dyDescent="0.4"/>
  <sheetData>
    <row r="1" spans="1:1" x14ac:dyDescent="0.4">
      <c r="A1" s="2" t="s">
        <v>2</v>
      </c>
    </row>
    <row r="2" spans="1:1" x14ac:dyDescent="0.4">
      <c r="A2">
        <v>100</v>
      </c>
    </row>
    <row r="3" spans="1:1" x14ac:dyDescent="0.4">
      <c r="A3">
        <v>99</v>
      </c>
    </row>
    <row r="4" spans="1:1" x14ac:dyDescent="0.4">
      <c r="A4">
        <v>97</v>
      </c>
    </row>
    <row r="5" spans="1:1" x14ac:dyDescent="0.4">
      <c r="A5">
        <v>80</v>
      </c>
    </row>
    <row r="6" spans="1:1" x14ac:dyDescent="0.4">
      <c r="A6">
        <v>92</v>
      </c>
    </row>
    <row r="7" spans="1:1" x14ac:dyDescent="0.4">
      <c r="A7">
        <v>100</v>
      </c>
    </row>
    <row r="8" spans="1:1" x14ac:dyDescent="0.4">
      <c r="A8">
        <v>105</v>
      </c>
    </row>
    <row r="9" spans="1:1" x14ac:dyDescent="0.4">
      <c r="A9">
        <v>101</v>
      </c>
    </row>
    <row r="10" spans="1:1" x14ac:dyDescent="0.4">
      <c r="A10">
        <v>99</v>
      </c>
    </row>
    <row r="11" spans="1:1" x14ac:dyDescent="0.4">
      <c r="A11">
        <v>91</v>
      </c>
    </row>
    <row r="12" spans="1:1" x14ac:dyDescent="0.4">
      <c r="A12">
        <v>82</v>
      </c>
    </row>
    <row r="13" spans="1:1" x14ac:dyDescent="0.4">
      <c r="A13">
        <v>90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4"/>
  <sheetViews>
    <sheetView workbookViewId="0">
      <selection activeCell="G5" sqref="G5"/>
    </sheetView>
  </sheetViews>
  <sheetFormatPr defaultRowHeight="17" x14ac:dyDescent="0.4"/>
  <cols>
    <col min="5" max="6" width="9.90625" bestFit="1" customWidth="1"/>
  </cols>
  <sheetData>
    <row r="1" spans="1:5" x14ac:dyDescent="0.4">
      <c r="A1">
        <v>1</v>
      </c>
      <c r="B1">
        <v>5</v>
      </c>
      <c r="C1">
        <v>9</v>
      </c>
      <c r="E1">
        <f>SUMODDNUM(A1:C4)</f>
        <v>36</v>
      </c>
    </row>
    <row r="2" spans="1:5" x14ac:dyDescent="0.4">
      <c r="A2">
        <v>2</v>
      </c>
      <c r="B2">
        <v>6</v>
      </c>
      <c r="C2">
        <v>10</v>
      </c>
    </row>
    <row r="3" spans="1:5" x14ac:dyDescent="0.4">
      <c r="A3">
        <v>3</v>
      </c>
      <c r="B3">
        <v>7</v>
      </c>
      <c r="C3">
        <v>11</v>
      </c>
    </row>
    <row r="4" spans="1:5" x14ac:dyDescent="0.4">
      <c r="A4">
        <v>4</v>
      </c>
      <c r="B4">
        <v>8</v>
      </c>
      <c r="C4">
        <v>12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39"/>
  <sheetViews>
    <sheetView tabSelected="1" workbookViewId="0">
      <selection activeCell="O7" sqref="O7"/>
    </sheetView>
  </sheetViews>
  <sheetFormatPr defaultRowHeight="17" x14ac:dyDescent="0.4"/>
  <cols>
    <col min="2" max="2" width="13.26953125" customWidth="1"/>
    <col min="3" max="3" width="14.1796875" customWidth="1"/>
    <col min="4" max="4" width="12.6328125" customWidth="1"/>
  </cols>
  <sheetData>
    <row r="1" spans="1:5" x14ac:dyDescent="0.4">
      <c r="A1" t="s">
        <v>3</v>
      </c>
      <c r="B1" t="s">
        <v>4</v>
      </c>
      <c r="C1" t="s">
        <v>5</v>
      </c>
      <c r="D1" t="s">
        <v>6</v>
      </c>
    </row>
    <row r="2" spans="1:5" x14ac:dyDescent="0.4">
      <c r="A2" t="s">
        <v>8</v>
      </c>
      <c r="B2">
        <v>100</v>
      </c>
      <c r="C2">
        <v>100</v>
      </c>
      <c r="D2">
        <v>100</v>
      </c>
    </row>
    <row r="3" spans="1:5" x14ac:dyDescent="0.4">
      <c r="A3" t="s">
        <v>7</v>
      </c>
      <c r="B3">
        <v>0.02</v>
      </c>
      <c r="C3">
        <v>0</v>
      </c>
      <c r="D3">
        <v>-0.02</v>
      </c>
    </row>
    <row r="4" spans="1:5" x14ac:dyDescent="0.4">
      <c r="A4" t="s">
        <v>11</v>
      </c>
      <c r="B4">
        <v>0.03</v>
      </c>
      <c r="C4">
        <v>0.03</v>
      </c>
      <c r="D4">
        <v>0.03</v>
      </c>
    </row>
    <row r="5" spans="1:5" x14ac:dyDescent="0.4">
      <c r="A5" t="s">
        <v>9</v>
      </c>
      <c r="B5">
        <v>10</v>
      </c>
      <c r="C5">
        <v>10</v>
      </c>
      <c r="D5">
        <v>10</v>
      </c>
    </row>
    <row r="6" spans="1:5" x14ac:dyDescent="0.4">
      <c r="A6" t="s">
        <v>10</v>
      </c>
      <c r="B6">
        <v>2</v>
      </c>
      <c r="C6">
        <v>2</v>
      </c>
      <c r="D6">
        <v>2</v>
      </c>
    </row>
    <row r="8" spans="1:5" x14ac:dyDescent="0.4">
      <c r="A8" t="s">
        <v>11</v>
      </c>
      <c r="B8" t="s">
        <v>14</v>
      </c>
      <c r="C8" t="s">
        <v>12</v>
      </c>
      <c r="D8" t="s">
        <v>13</v>
      </c>
      <c r="E8">
        <v>2E-3</v>
      </c>
    </row>
    <row r="9" spans="1:5" ht="16.5" customHeight="1" x14ac:dyDescent="0.4">
      <c r="A9">
        <v>0.03</v>
      </c>
      <c r="B9" s="3">
        <v>91.41568060745908</v>
      </c>
      <c r="C9" s="3">
        <v>74.247041822377241</v>
      </c>
      <c r="D9" s="3">
        <v>57.078403037295402</v>
      </c>
    </row>
    <row r="10" spans="1:5" x14ac:dyDescent="0.4">
      <c r="A10">
        <f>A9-$E$8</f>
        <v>2.7999999999999997E-2</v>
      </c>
      <c r="B10" s="3">
        <v>93.064366322507581</v>
      </c>
      <c r="C10" s="3">
        <v>75.725282128776541</v>
      </c>
      <c r="D10" s="3">
        <v>58.386197935045487</v>
      </c>
    </row>
    <row r="11" spans="1:5" x14ac:dyDescent="0.4">
      <c r="A11">
        <f>A10-$E$8</f>
        <v>2.5999999999999995E-2</v>
      </c>
      <c r="B11" s="3">
        <v>94.746412957914643</v>
      </c>
      <c r="C11" s="3">
        <v>77.234456150963467</v>
      </c>
      <c r="D11" s="3">
        <v>59.722499344012277</v>
      </c>
    </row>
    <row r="12" spans="1:5" x14ac:dyDescent="0.4">
      <c r="A12">
        <f>A11-$E$8</f>
        <v>2.3999999999999994E-2</v>
      </c>
      <c r="B12" s="3">
        <v>96.462540451540491</v>
      </c>
      <c r="C12" s="3">
        <v>78.775242709242931</v>
      </c>
      <c r="D12" s="3">
        <v>61.087944966945365</v>
      </c>
    </row>
    <row r="13" spans="1:5" x14ac:dyDescent="0.4">
      <c r="A13">
        <f>A12-$E$8</f>
        <v>2.1999999999999992E-2</v>
      </c>
      <c r="B13" s="3">
        <v>98.213485110256372</v>
      </c>
      <c r="C13" s="3">
        <v>80.348336212820072</v>
      </c>
      <c r="D13" s="3">
        <v>62.483187315383759</v>
      </c>
    </row>
    <row r="14" spans="1:5" x14ac:dyDescent="0.4">
      <c r="A14">
        <f>A13-$E$8</f>
        <v>1.999999999999999E-2</v>
      </c>
      <c r="B14" s="3">
        <v>100.00000000000001</v>
      </c>
      <c r="C14" s="3">
        <v>81.954447033729537</v>
      </c>
      <c r="D14" s="3">
        <v>63.90889406745908</v>
      </c>
    </row>
    <row r="15" spans="1:5" x14ac:dyDescent="0.4">
      <c r="A15">
        <f>A14-$E$8</f>
        <v>1.7999999999999988E-2</v>
      </c>
      <c r="B15" s="3">
        <v>101.82285534554191</v>
      </c>
      <c r="C15" s="3">
        <v>83.594301890122907</v>
      </c>
      <c r="D15" s="3">
        <v>65.365748434703903</v>
      </c>
    </row>
    <row r="16" spans="1:5" x14ac:dyDescent="0.4">
      <c r="A16">
        <f>A15-$E$8</f>
        <v>1.5999999999999986E-2</v>
      </c>
      <c r="B16" s="3">
        <v>103.6828389402134</v>
      </c>
      <c r="C16" s="3">
        <v>85.26864423914644</v>
      </c>
      <c r="D16" s="3">
        <v>66.854449538079493</v>
      </c>
    </row>
    <row r="17" spans="1:4" x14ac:dyDescent="0.4">
      <c r="A17">
        <f>A16-$E$8</f>
        <v>1.3999999999999986E-2</v>
      </c>
      <c r="B17" s="3">
        <v>105.5807565658553</v>
      </c>
      <c r="C17" s="3">
        <v>86.978234679671033</v>
      </c>
      <c r="D17" s="3">
        <v>68.375712793486755</v>
      </c>
    </row>
    <row r="18" spans="1:4" x14ac:dyDescent="0.4">
      <c r="A18">
        <f>A17-$E$8</f>
        <v>1.1999999999999986E-2</v>
      </c>
      <c r="B18" s="3">
        <v>107.51743242325389</v>
      </c>
      <c r="C18" s="3">
        <v>88.723851365119202</v>
      </c>
      <c r="D18" s="3">
        <v>69.930270306984511</v>
      </c>
    </row>
    <row r="19" spans="1:4" x14ac:dyDescent="0.4">
      <c r="A19">
        <f>A18-$E$8</f>
        <v>9.9999999999999863E-3</v>
      </c>
      <c r="B19" s="3">
        <v>109.49370957333475</v>
      </c>
      <c r="C19" s="3">
        <v>90.506290426665274</v>
      </c>
      <c r="D19" s="3">
        <v>71.518871279995807</v>
      </c>
    </row>
    <row r="20" spans="1:4" x14ac:dyDescent="0.4">
      <c r="A20">
        <f>A19-$E$8</f>
        <v>7.9999999999999863E-3</v>
      </c>
      <c r="B20" s="3">
        <v>111.51045038939925</v>
      </c>
      <c r="C20" s="3">
        <v>92.326366407067184</v>
      </c>
      <c r="D20" s="3">
        <v>73.142282424735129</v>
      </c>
    </row>
    <row r="21" spans="1:4" x14ac:dyDescent="0.4">
      <c r="A21">
        <f>A20-$E$8</f>
        <v>5.9999999999999862E-3</v>
      </c>
      <c r="B21" s="3">
        <v>113.56853702068398</v>
      </c>
      <c r="C21" s="3">
        <v>94.184912705421169</v>
      </c>
      <c r="D21" s="3">
        <v>74.801288390158376</v>
      </c>
    </row>
    <row r="22" spans="1:4" x14ac:dyDescent="0.4">
      <c r="A22">
        <f>A21-$E$8</f>
        <v>3.9999999999999862E-3</v>
      </c>
      <c r="B22" s="3">
        <v>115.66887186755099</v>
      </c>
      <c r="C22" s="3">
        <v>96.082782033112267</v>
      </c>
      <c r="D22" s="3">
        <v>76.496692198673557</v>
      </c>
    </row>
    <row r="23" spans="1:4" x14ac:dyDescent="0.4">
      <c r="A23">
        <f>A22-$E$8</f>
        <v>1.9999999999999862E-3</v>
      </c>
      <c r="B23" s="3">
        <v>117.81237806859293</v>
      </c>
      <c r="C23" s="3">
        <v>98.020846881267474</v>
      </c>
      <c r="D23" s="3">
        <v>78.229315693941999</v>
      </c>
    </row>
    <row r="24" spans="1:4" x14ac:dyDescent="0.4">
      <c r="A24">
        <f>A23-$E$8</f>
        <v>-1.3877787807814457E-17</v>
      </c>
      <c r="B24" s="3">
        <v>100</v>
      </c>
      <c r="C24" s="3">
        <v>100</v>
      </c>
      <c r="D24" s="3">
        <v>100</v>
      </c>
    </row>
    <row r="25" spans="1:4" x14ac:dyDescent="0.4">
      <c r="A25">
        <f>A24-$E$8</f>
        <v>-2.0000000000000139E-3</v>
      </c>
      <c r="B25" s="3">
        <v>122.23270378744976</v>
      </c>
      <c r="C25" s="3">
        <v>102.02115488976817</v>
      </c>
      <c r="D25" s="3">
        <v>81.809605992086588</v>
      </c>
    </row>
    <row r="26" spans="1:4" x14ac:dyDescent="0.4">
      <c r="A26">
        <f>A25-$E$8</f>
        <v>-4.000000000000014E-3</v>
      </c>
      <c r="B26" s="3">
        <v>124.51147783092824</v>
      </c>
      <c r="C26" s="3">
        <v>104.08524630515473</v>
      </c>
      <c r="D26" s="3">
        <v>83.659014779381195</v>
      </c>
    </row>
    <row r="27" spans="1:4" x14ac:dyDescent="0.4">
      <c r="A27">
        <f>A26-$E$8</f>
        <v>-6.000000000000014E-3</v>
      </c>
      <c r="B27" s="3">
        <v>126.83733334274683</v>
      </c>
      <c r="C27" s="3">
        <v>106.19323077140312</v>
      </c>
      <c r="D27" s="3">
        <v>85.549128200059428</v>
      </c>
    </row>
    <row r="28" spans="1:4" x14ac:dyDescent="0.4">
      <c r="A28">
        <f>A27-$E$8</f>
        <v>-8.000000000000014E-3</v>
      </c>
      <c r="B28" s="3">
        <v>129.21130489914779</v>
      </c>
      <c r="C28" s="3">
        <v>108.34608711404223</v>
      </c>
      <c r="D28" s="3">
        <v>87.480869328936677</v>
      </c>
    </row>
    <row r="29" spans="1:4" x14ac:dyDescent="0.4">
      <c r="A29">
        <f>A28-$E$8</f>
        <v>-1.0000000000000014E-2</v>
      </c>
      <c r="B29" s="3">
        <v>131.63445100583772</v>
      </c>
      <c r="C29" s="3">
        <v>110.54481700194592</v>
      </c>
      <c r="D29" s="3">
        <v>89.455182998054113</v>
      </c>
    </row>
    <row r="30" spans="1:4" x14ac:dyDescent="0.4">
      <c r="A30">
        <f>A29-$E$8</f>
        <v>-1.2000000000000014E-2</v>
      </c>
      <c r="B30" s="3">
        <v>134.10785467781955</v>
      </c>
      <c r="C30" s="3">
        <v>112.79044550418234</v>
      </c>
      <c r="D30" s="3">
        <v>91.473036330545128</v>
      </c>
    </row>
    <row r="31" spans="1:4" x14ac:dyDescent="0.4">
      <c r="A31">
        <f>A30-$E$8</f>
        <v>-1.4000000000000014E-2</v>
      </c>
      <c r="B31" s="3">
        <v>136.63262403389973</v>
      </c>
      <c r="C31" s="3">
        <v>115.08402166101754</v>
      </c>
      <c r="D31" s="3">
        <v>93.535419288135358</v>
      </c>
    </row>
    <row r="32" spans="1:4" x14ac:dyDescent="0.4">
      <c r="A32">
        <f>A31-$E$8</f>
        <v>-1.6000000000000014E-2</v>
      </c>
      <c r="B32" s="3">
        <v>139.20989290625727</v>
      </c>
      <c r="C32" s="3">
        <v>117.42661906944768</v>
      </c>
      <c r="D32" s="3">
        <v>95.643345232638097</v>
      </c>
    </row>
    <row r="33" spans="1:4" x14ac:dyDescent="0.4">
      <c r="A33">
        <f>A32-$E$8</f>
        <v>-1.8000000000000016E-2</v>
      </c>
      <c r="B33" s="3">
        <v>141.84082146547249</v>
      </c>
      <c r="C33" s="3">
        <v>119.81933648364488</v>
      </c>
      <c r="D33" s="3">
        <v>97.797851501817249</v>
      </c>
    </row>
    <row r="34" spans="1:4" x14ac:dyDescent="0.4">
      <c r="A34">
        <f>A33-$E$8</f>
        <v>-2.0000000000000018E-2</v>
      </c>
      <c r="B34" s="3">
        <v>144.52659686142408</v>
      </c>
      <c r="C34" s="3">
        <v>122.26329843071204</v>
      </c>
      <c r="D34" s="3">
        <v>100.00000000000001</v>
      </c>
    </row>
    <row r="35" spans="1:4" x14ac:dyDescent="0.4">
      <c r="A35">
        <f>A34-$E$8</f>
        <v>-2.200000000000002E-2</v>
      </c>
      <c r="B35" s="3">
        <v>147.26843388047445</v>
      </c>
      <c r="C35" s="3">
        <v>124.75965584215328</v>
      </c>
      <c r="D35" s="3">
        <v>102.25087780383214</v>
      </c>
    </row>
    <row r="36" spans="1:4" x14ac:dyDescent="0.4">
      <c r="A36">
        <f>A35-$E$8</f>
        <v>-2.4000000000000021E-2</v>
      </c>
      <c r="B36" s="3">
        <v>150.06757561937442</v>
      </c>
      <c r="C36" s="3">
        <v>127.30958670147697</v>
      </c>
      <c r="D36" s="3">
        <v>104.55159778357951</v>
      </c>
    </row>
    <row r="37" spans="1:4" x14ac:dyDescent="0.4">
      <c r="A37">
        <f>A36-$E$8</f>
        <v>-2.6000000000000023E-2</v>
      </c>
      <c r="B37" s="3">
        <v>152.92529417633114</v>
      </c>
      <c r="C37" s="3">
        <v>129.91429670836109</v>
      </c>
      <c r="D37" s="3">
        <v>106.90329924039104</v>
      </c>
    </row>
    <row r="38" spans="1:4" x14ac:dyDescent="0.4">
      <c r="A38">
        <f>A37-$E$8</f>
        <v>-2.8000000000000025E-2</v>
      </c>
      <c r="B38" s="3">
        <v>155.84289135969388</v>
      </c>
      <c r="C38" s="3">
        <v>132.57501995982145</v>
      </c>
      <c r="D38" s="3">
        <v>109.307148559949</v>
      </c>
    </row>
    <row r="39" spans="1:4" x14ac:dyDescent="0.4">
      <c r="A39">
        <f>A38-$E$8</f>
        <v>-3.0000000000000027E-2</v>
      </c>
      <c r="B39" s="3">
        <v>158.82169941472671</v>
      </c>
      <c r="C39" s="3">
        <v>135.29301964883604</v>
      </c>
      <c r="D39" s="3">
        <v>111.76433988294536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BMI</vt:lpstr>
      <vt:lpstr>MDD</vt:lpstr>
      <vt:lpstr>SUMODD</vt:lpstr>
      <vt:lpstr>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2020-03-23T14:13:45Z</dcterms:created>
  <dcterms:modified xsi:type="dcterms:W3CDTF">2020-03-25T17:06:37Z</dcterms:modified>
</cp:coreProperties>
</file>